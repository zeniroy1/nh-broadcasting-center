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Bss-data\자료폴더\★★★★통합관리(박세영본사제출)\연차자료\"/>
    </mc:Choice>
  </mc:AlternateContent>
  <bookViews>
    <workbookView xWindow="28680" yWindow="-120" windowWidth="29040" windowHeight="15840"/>
  </bookViews>
  <sheets>
    <sheet name="방송운영단" sheetId="1" r:id="rId1"/>
  </sheets>
  <calcPr calcId="162913"/>
</workbook>
</file>

<file path=xl/calcChain.xml><?xml version="1.0" encoding="utf-8"?>
<calcChain xmlns="http://schemas.openxmlformats.org/spreadsheetml/2006/main">
  <c r="F29" i="1" l="1"/>
  <c r="F26" i="1"/>
  <c r="F23" i="1"/>
  <c r="F20" i="1"/>
  <c r="F17" i="1"/>
  <c r="F11" i="1"/>
  <c r="F8" i="1"/>
  <c r="F5" i="1"/>
  <c r="F14" i="1"/>
  <c r="F32" i="1"/>
  <c r="G32" i="1" l="1"/>
  <c r="H32" i="1" l="1"/>
  <c r="I32" i="1" s="1"/>
  <c r="E8" i="1"/>
  <c r="H5" i="1"/>
  <c r="E5" i="1"/>
  <c r="G11" i="1"/>
  <c r="E11" i="1"/>
  <c r="H14" i="1"/>
  <c r="E14" i="1"/>
  <c r="E17" i="1"/>
  <c r="G20" i="1"/>
  <c r="E20" i="1"/>
  <c r="H23" i="1"/>
  <c r="G23" i="1"/>
  <c r="E23" i="1"/>
  <c r="H26" i="1"/>
  <c r="E26" i="1"/>
  <c r="E29" i="1"/>
  <c r="H20" i="1" l="1"/>
  <c r="I20" i="1" s="1"/>
  <c r="I11" i="1"/>
  <c r="G5" i="1"/>
  <c r="I5" i="1" s="1"/>
  <c r="I23" i="1"/>
  <c r="H11" i="1"/>
  <c r="H8" i="1"/>
  <c r="G29" i="1"/>
  <c r="G17" i="1"/>
  <c r="G8" i="1"/>
  <c r="H29" i="1"/>
  <c r="G26" i="1"/>
  <c r="I26" i="1" s="1"/>
  <c r="H17" i="1"/>
  <c r="G14" i="1"/>
  <c r="I14" i="1" s="1"/>
  <c r="Z33" i="1"/>
  <c r="Z32" i="1"/>
  <c r="AA32" i="1" s="1"/>
  <c r="AB32" i="1" s="1"/>
  <c r="E32" i="1"/>
  <c r="Z30" i="1"/>
  <c r="Z29" i="1"/>
  <c r="AA29" i="1" s="1"/>
  <c r="Z27" i="1"/>
  <c r="Z26" i="1"/>
  <c r="AA26" i="1" s="1"/>
  <c r="Z24" i="1"/>
  <c r="Z23" i="1"/>
  <c r="AA23" i="1" s="1"/>
  <c r="Z21" i="1"/>
  <c r="Z20" i="1"/>
  <c r="Z18" i="1"/>
  <c r="Z17" i="1"/>
  <c r="Z15" i="1"/>
  <c r="Z14" i="1"/>
  <c r="Z12" i="1"/>
  <c r="Z11" i="1"/>
  <c r="AA11" i="1" s="1"/>
  <c r="Z9" i="1"/>
  <c r="Z8" i="1"/>
  <c r="Z6" i="1"/>
  <c r="Z5" i="1"/>
  <c r="AA8" i="1" l="1"/>
  <c r="AA14" i="1"/>
  <c r="AB14" i="1" s="1"/>
  <c r="AB23" i="1"/>
  <c r="I29" i="1"/>
  <c r="AB29" i="1" s="1"/>
  <c r="AB26" i="1"/>
  <c r="I17" i="1"/>
  <c r="AB11" i="1"/>
  <c r="I8" i="1"/>
  <c r="AB8" i="1" s="1"/>
  <c r="AA17" i="1"/>
  <c r="AB17" i="1" s="1"/>
  <c r="AA20" i="1"/>
  <c r="AB20" i="1" s="1"/>
  <c r="AA5" i="1"/>
  <c r="AB5" i="1" s="1"/>
</calcChain>
</file>

<file path=xl/sharedStrings.xml><?xml version="1.0" encoding="utf-8"?>
<sst xmlns="http://schemas.openxmlformats.org/spreadsheetml/2006/main" count="66" uniqueCount="34">
  <si>
    <t>기준</t>
  </si>
  <si>
    <t>NO</t>
  </si>
  <si>
    <t>성명</t>
  </si>
  <si>
    <t>입사일</t>
  </si>
  <si>
    <t>근속기간</t>
  </si>
  <si>
    <t>근속연수</t>
  </si>
  <si>
    <t>기본</t>
  </si>
  <si>
    <t>가산</t>
  </si>
  <si>
    <t>합계</t>
  </si>
  <si>
    <t>구분</t>
  </si>
  <si>
    <t>사용일자</t>
  </si>
  <si>
    <t>총사용계</t>
  </si>
  <si>
    <t>잔여</t>
  </si>
  <si>
    <t>확인
(12월)</t>
  </si>
  <si>
    <t>연차</t>
  </si>
  <si>
    <t>반차</t>
  </si>
  <si>
    <t>김준호</t>
  </si>
  <si>
    <t>함현식</t>
  </si>
  <si>
    <t>김성주</t>
  </si>
  <si>
    <t>주경훈</t>
  </si>
  <si>
    <t>이동근</t>
  </si>
  <si>
    <t>윤태우</t>
  </si>
  <si>
    <t>박성준</t>
  </si>
  <si>
    <r>
      <rPr>
        <b/>
        <sz val="12"/>
        <color rgb="FF000000"/>
        <rFont val="맑은 고딕"/>
        <family val="3"/>
        <charset val="129"/>
      </rPr>
      <t>※</t>
    </r>
    <r>
      <rPr>
        <b/>
        <sz val="12"/>
        <color theme="1"/>
        <rFont val="돋움"/>
        <family val="3"/>
        <charset val="129"/>
      </rPr>
      <t xml:space="preserve"> 주의사항</t>
    </r>
  </si>
  <si>
    <t>1. 보내는 일자는 월간보고 보낼때 함께 보내주세요.</t>
  </si>
  <si>
    <t>2. 노란색 부분은 수정하지 말아주세요.</t>
  </si>
  <si>
    <t>3. 퇴사자 발생시 퇴사해당 월 포함 1개월은 지우지 마세요.</t>
  </si>
  <si>
    <t>4. 싸인은 매월 받아 보관해 주세요.</t>
  </si>
  <si>
    <t>5. 일일업무보고 휴가자 기록과 함께 관리해 주세요.</t>
  </si>
  <si>
    <t>보관 예시</t>
  </si>
  <si>
    <t>김동석</t>
    <phoneticPr fontId="11" type="noConversion"/>
  </si>
  <si>
    <t>박세영</t>
    <phoneticPr fontId="11" type="noConversion"/>
  </si>
  <si>
    <t>2026년 연차,반차 확인(방송운영단)</t>
    <phoneticPr fontId="11" type="noConversion"/>
  </si>
  <si>
    <t>주희준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</si>
</sst>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mm&quot;월&quot;\ dd&quot;일&quot;"/>
    <numFmt numFmtId="178" formatCode="yy\.mm\.dd"/>
  </numFmts>
  <fonts count="12">
    <font>
      <sz val="10"/>
      <color rgb="FF000000"/>
      <name val="Arial"/>
      <scheme val="minor"/>
    </font>
    <font>
      <sz val="22"/>
      <color theme="1"/>
      <name val="HY견고딕"/>
      <family val="1"/>
      <charset val="129"/>
    </font>
    <font>
      <sz val="11"/>
      <color theme="1"/>
      <name val="Dotum"/>
      <family val="3"/>
      <charset val="129"/>
    </font>
    <font>
      <sz val="10"/>
      <name val="Arial"/>
    </font>
    <font>
      <b/>
      <sz val="10"/>
      <color theme="1"/>
      <name val="Dotum"/>
      <family val="3"/>
      <charset val="129"/>
    </font>
    <font>
      <sz val="10"/>
      <color theme="1"/>
      <name val="Dotum"/>
      <family val="3"/>
      <charset val="129"/>
    </font>
    <font>
      <sz val="11"/>
      <color theme="1"/>
      <name val="Malgun Gothic"/>
      <family val="3"/>
      <charset val="129"/>
    </font>
    <font>
      <b/>
      <sz val="12"/>
      <color theme="1"/>
      <name val="Dotum"/>
      <family val="3"/>
      <charset val="129"/>
    </font>
    <font>
      <sz val="9"/>
      <color theme="1"/>
      <name val="Dotum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돋움"/>
      <family val="3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/>
    <xf numFmtId="176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176" fontId="2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63</xdr:row>
      <xdr:rowOff>28575</xdr:rowOff>
    </xdr:from>
    <xdr:ext cx="9248775" cy="7419975"/>
    <xdr:pic>
      <xdr:nvPicPr>
        <xdr:cNvPr id="2" name="image1.jp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14097000"/>
          <a:ext cx="9248775" cy="7419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F947"/>
  <sheetViews>
    <sheetView tabSelected="1" zoomScaleNormal="100" workbookViewId="0">
      <pane ySplit="4" topLeftCell="A11" activePane="bottomLeft" state="frozen"/>
      <selection pane="bottomLeft" activeCell="F32" sqref="F32:F34"/>
    </sheetView>
  </sheetViews>
  <sheetFormatPr defaultColWidth="12.5703125" defaultRowHeight="15.75" customHeight="1"/>
  <cols>
    <col min="1" max="1" width="4.5703125" customWidth="1"/>
    <col min="2" max="2" width="6.5703125" customWidth="1"/>
    <col min="3" max="3" width="10.5703125" customWidth="1"/>
    <col min="4" max="4" width="13.7109375" customWidth="1"/>
    <col min="5" max="5" width="16.7109375" customWidth="1"/>
    <col min="6" max="9" width="8.5703125" customWidth="1"/>
    <col min="10" max="10" width="9" customWidth="1"/>
    <col min="11" max="25" width="10.7109375" customWidth="1"/>
    <col min="26" max="28" width="9" customWidth="1"/>
    <col min="29" max="32" width="8" customWidth="1"/>
  </cols>
  <sheetData>
    <row r="1" spans="2:32" ht="69.75" customHeight="1">
      <c r="B1" s="14" t="s">
        <v>32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"/>
      <c r="AE1" s="1"/>
      <c r="AF1" s="1"/>
    </row>
    <row r="2" spans="2:32" ht="16.5" customHeight="1">
      <c r="B2" s="2" t="s">
        <v>0</v>
      </c>
      <c r="C2" s="16">
        <v>46387</v>
      </c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2" ht="16.5" customHeight="1"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3" t="s">
        <v>10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20" t="s">
        <v>11</v>
      </c>
      <c r="AA3" s="21"/>
      <c r="AB3" s="18" t="s">
        <v>12</v>
      </c>
      <c r="AC3" s="19" t="s">
        <v>13</v>
      </c>
    </row>
    <row r="4" spans="2:32" ht="16.5" customHeight="1">
      <c r="B4" s="9"/>
      <c r="C4" s="9"/>
      <c r="D4" s="9"/>
      <c r="E4" s="9"/>
      <c r="F4" s="9"/>
      <c r="G4" s="9"/>
      <c r="H4" s="9"/>
      <c r="I4" s="9"/>
      <c r="J4" s="9"/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3">
        <v>10</v>
      </c>
      <c r="U4" s="3">
        <v>11</v>
      </c>
      <c r="V4" s="3">
        <v>12</v>
      </c>
      <c r="W4" s="3">
        <v>13</v>
      </c>
      <c r="X4" s="3">
        <v>14</v>
      </c>
      <c r="Y4" s="3">
        <v>15</v>
      </c>
      <c r="Z4" s="22"/>
      <c r="AA4" s="23"/>
      <c r="AB4" s="9"/>
      <c r="AC4" s="9"/>
    </row>
    <row r="5" spans="2:32" ht="16.5" customHeight="1">
      <c r="B5" s="7">
        <v>1</v>
      </c>
      <c r="C5" s="7" t="s">
        <v>31</v>
      </c>
      <c r="D5" s="10">
        <v>40070</v>
      </c>
      <c r="E5" s="7" t="str">
        <f>IF(OR(D5="",NOT(ISNUMBER(D5))),"",DATEDIF(D5,$C$2+1,"Y")&amp;"년 "&amp;DATEDIF(D5,$C$2+1,"YM")&amp;"개월 "&amp;DATEDIF(D5,$C$2+1,"MD")&amp;"일")</f>
        <v>17년 3개월 18일</v>
      </c>
      <c r="F5" s="7">
        <f>IF(OR(D5="",NOT(ISNUMBER(D5))),"",DATEDIF(D5,$C$2,"Y"))</f>
        <v>17</v>
      </c>
      <c r="G5" s="7">
        <f>IF(OR(D5="",NOT(ISNUMBER(D5))),"",IF(F5=0,0,15))</f>
        <v>15</v>
      </c>
      <c r="H5" s="7">
        <f>IF(OR(D5="",NOT(ISNUMBER(D5))),"",IF(F5=0,MIN(11,DATEDIF(D5,$C$2+1,"M")),IF(F5&gt;=2,MIN(10,INT((F5-1)/2)),0)))</f>
        <v>8</v>
      </c>
      <c r="I5" s="7">
        <f>IF(OR(D5="",NOT(ISNUMBER(D5))),"",IF(F5=0,H5,MIN(25,G5+H5)))</f>
        <v>23</v>
      </c>
      <c r="J5" s="4" t="s">
        <v>14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>
        <f>COUNTA(K5:Y5)</f>
        <v>0</v>
      </c>
      <c r="AA5" s="11">
        <f>Z5+Z6/2</f>
        <v>0</v>
      </c>
      <c r="AB5" s="11">
        <f>I5-AA5</f>
        <v>23</v>
      </c>
      <c r="AC5" s="13"/>
    </row>
    <row r="6" spans="2:32" ht="16.5" customHeight="1">
      <c r="B6" s="8"/>
      <c r="C6" s="8"/>
      <c r="D6" s="8"/>
      <c r="E6" s="8"/>
      <c r="F6" s="8"/>
      <c r="G6" s="8"/>
      <c r="H6" s="8"/>
      <c r="I6" s="8"/>
      <c r="J6" s="12" t="s">
        <v>15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1">
        <f>COUNTA(K6:Y7)</f>
        <v>0</v>
      </c>
      <c r="AA6" s="8"/>
      <c r="AB6" s="8"/>
      <c r="AC6" s="8"/>
    </row>
    <row r="7" spans="2:32" ht="16.5" customHeight="1">
      <c r="B7" s="9"/>
      <c r="C7" s="9"/>
      <c r="D7" s="9"/>
      <c r="E7" s="9"/>
      <c r="F7" s="9"/>
      <c r="G7" s="9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9"/>
      <c r="AA7" s="9"/>
      <c r="AB7" s="9"/>
      <c r="AC7" s="9"/>
    </row>
    <row r="8" spans="2:32" ht="16.5" customHeight="1">
      <c r="B8" s="7">
        <v>2</v>
      </c>
      <c r="C8" s="7" t="s">
        <v>30</v>
      </c>
      <c r="D8" s="10">
        <v>38621</v>
      </c>
      <c r="E8" s="7" t="str">
        <f>IF(OR(D8="",NOT(ISNUMBER(D8))),"",DATEDIF(D8,$C$2+1,"Y")&amp;"년 "&amp;DATEDIF(D8,$C$2+1,"YM")&amp;"개월 "&amp;DATEDIF(D8,$C$2+1,"MD")&amp;"일")</f>
        <v>21년 3개월 6일</v>
      </c>
      <c r="F8" s="7">
        <f>IF(OR(D8="",NOT(ISNUMBER(D8))),"",DATEDIF(D8,$C$2,"Y"))</f>
        <v>21</v>
      </c>
      <c r="G8" s="7">
        <f>IF(OR(D8="",NOT(ISNUMBER(D8))),"",IF(F8=0,0,15))</f>
        <v>15</v>
      </c>
      <c r="H8" s="7">
        <f>IF(OR(D8="",NOT(ISNUMBER(D8))),"",IF(F8=0,MIN(11,DATEDIF(D8,$C$2+1,"M")),IF(F8&gt;=2,MIN(10,INT((F8-1)/2)),0)))</f>
        <v>10</v>
      </c>
      <c r="I8" s="7">
        <f>IF(OR(D8="",NOT(ISNUMBER(D8))),"",IF(F8=0,H8,MIN(25,G8+H8)))</f>
        <v>25</v>
      </c>
      <c r="J8" s="4" t="s">
        <v>14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>
        <f>COUNTA(K8:Y8)</f>
        <v>0</v>
      </c>
      <c r="AA8" s="11">
        <f>Z8+Z9/2</f>
        <v>0</v>
      </c>
      <c r="AB8" s="11">
        <f>I8-AA8</f>
        <v>25</v>
      </c>
      <c r="AC8" s="13"/>
    </row>
    <row r="9" spans="2:32" ht="16.5" customHeight="1">
      <c r="B9" s="8"/>
      <c r="C9" s="8"/>
      <c r="D9" s="8"/>
      <c r="E9" s="8"/>
      <c r="F9" s="8"/>
      <c r="G9" s="8"/>
      <c r="H9" s="8"/>
      <c r="I9" s="8"/>
      <c r="J9" s="12" t="s">
        <v>15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1">
        <f>COUNTA(K9:Y10)</f>
        <v>0</v>
      </c>
      <c r="AA9" s="8"/>
      <c r="AB9" s="8"/>
      <c r="AC9" s="8"/>
    </row>
    <row r="10" spans="2:32" ht="16.5" customHeight="1">
      <c r="B10" s="9"/>
      <c r="C10" s="9"/>
      <c r="D10" s="9"/>
      <c r="E10" s="9"/>
      <c r="F10" s="9"/>
      <c r="G10" s="9"/>
      <c r="H10" s="9"/>
      <c r="I10" s="9"/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9"/>
      <c r="AA10" s="9"/>
      <c r="AB10" s="9"/>
      <c r="AC10" s="9"/>
    </row>
    <row r="11" spans="2:32" ht="16.5" customHeight="1">
      <c r="B11" s="7">
        <v>3</v>
      </c>
      <c r="C11" s="7" t="s">
        <v>16</v>
      </c>
      <c r="D11" s="10">
        <v>44489</v>
      </c>
      <c r="E11" s="7" t="str">
        <f>IF(OR(D11="",NOT(ISNUMBER(D11))),"",DATEDIF(D11,$C$2+1,"Y")&amp;"년 "&amp;DATEDIF(D11,$C$2+1,"YM")&amp;"개월 "&amp;DATEDIF(D11,$C$2+1,"MD")&amp;"일")</f>
        <v>5년 2개월 12일</v>
      </c>
      <c r="F11" s="7">
        <f>IF(OR(D11="",NOT(ISNUMBER(D11))),"",DATEDIF(D11,$C$2,"Y"))</f>
        <v>5</v>
      </c>
      <c r="G11" s="7">
        <f>IF(OR(D11="",NOT(ISNUMBER(D11))),"",IF(F11=0,0,15))</f>
        <v>15</v>
      </c>
      <c r="H11" s="7">
        <f>IF(OR(D11="",NOT(ISNUMBER(D11))),"",IF(F11=0,MIN(11,DATEDIF(D11,$C$2+1,"M")),IF(F11&gt;=2,MIN(10,INT((F11-1)/2)),0)))</f>
        <v>2</v>
      </c>
      <c r="I11" s="7">
        <f>IF(OR(D11="",NOT(ISNUMBER(D11))),"",IF(F11=0,H11,MIN(25,G11+H11)))</f>
        <v>17</v>
      </c>
      <c r="J11" s="4" t="s">
        <v>14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>
        <f>COUNTA(K11:Y11)</f>
        <v>0</v>
      </c>
      <c r="AA11" s="11">
        <f>Z11+Z12/2</f>
        <v>0</v>
      </c>
      <c r="AB11" s="11">
        <f>I11-AA11</f>
        <v>17</v>
      </c>
      <c r="AC11" s="13"/>
    </row>
    <row r="12" spans="2:32" ht="16.5" customHeight="1">
      <c r="B12" s="8"/>
      <c r="C12" s="8"/>
      <c r="D12" s="8"/>
      <c r="E12" s="8"/>
      <c r="F12" s="8"/>
      <c r="G12" s="8"/>
      <c r="H12" s="8"/>
      <c r="I12" s="8"/>
      <c r="J12" s="12" t="s">
        <v>15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1">
        <f>COUNTA(K12:Y13)</f>
        <v>0</v>
      </c>
      <c r="AA12" s="8"/>
      <c r="AB12" s="8"/>
      <c r="AC12" s="8"/>
    </row>
    <row r="13" spans="2:32" ht="16.5" customHeight="1">
      <c r="B13" s="9"/>
      <c r="C13" s="9"/>
      <c r="D13" s="9"/>
      <c r="E13" s="9"/>
      <c r="F13" s="9"/>
      <c r="G13" s="9"/>
      <c r="H13" s="9"/>
      <c r="I13" s="9"/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9"/>
      <c r="AA13" s="9"/>
      <c r="AB13" s="9"/>
      <c r="AC13" s="9"/>
    </row>
    <row r="14" spans="2:32" ht="16.5" customHeight="1">
      <c r="B14" s="7">
        <v>4</v>
      </c>
      <c r="C14" s="7" t="s">
        <v>17</v>
      </c>
      <c r="D14" s="10">
        <v>45726</v>
      </c>
      <c r="E14" s="7" t="str">
        <f>IF(OR(D14="",NOT(ISNUMBER(D14))),"",DATEDIF(D14,$C$2+1,"Y")&amp;"년 "&amp;DATEDIF(D14,$C$2+1,"YM")&amp;"개월 "&amp;DATEDIF(D14,$C$2+1,"MD")&amp;"일")</f>
        <v>1년 9개월 22일</v>
      </c>
      <c r="F14" s="7">
        <f>IF(OR(D14="",NOT(ISNUMBER(D14))),"",DATEDIF(D14,$C$2,"Y"))</f>
        <v>1</v>
      </c>
      <c r="G14" s="7">
        <f>IF(OR(D14="",NOT(ISNUMBER(D14))),"",IF(F14=0,0,15))</f>
        <v>15</v>
      </c>
      <c r="H14" s="7">
        <f>IF(OR(D14="",NOT(ISNUMBER(D14))),"",IF(F14=0,MIN(11,DATEDIF(D14,$C$2+1,"M")),IF(F14&gt;=2,MIN(10,INT((F14-1)/2)),0)))</f>
        <v>0</v>
      </c>
      <c r="I14" s="7">
        <f>IF(OR(D14="",NOT(ISNUMBER(D14))),"",IF(F14=0,H14,MIN(25,G14+H14)))</f>
        <v>15</v>
      </c>
      <c r="J14" s="4" t="s">
        <v>14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>
        <f>COUNTA(K14:Y14)</f>
        <v>0</v>
      </c>
      <c r="AA14" s="11">
        <f>Z14+Z15/2</f>
        <v>0</v>
      </c>
      <c r="AB14" s="11">
        <f>I14-AA14</f>
        <v>15</v>
      </c>
      <c r="AC14" s="13"/>
    </row>
    <row r="15" spans="2:32" ht="15.75" customHeight="1">
      <c r="B15" s="8"/>
      <c r="C15" s="8"/>
      <c r="D15" s="8"/>
      <c r="E15" s="8"/>
      <c r="F15" s="8"/>
      <c r="G15" s="8"/>
      <c r="H15" s="8"/>
      <c r="I15" s="8"/>
      <c r="J15" s="12" t="s">
        <v>15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1">
        <f>COUNTA(K15:Y16)</f>
        <v>0</v>
      </c>
      <c r="AA15" s="8"/>
      <c r="AB15" s="8"/>
      <c r="AC15" s="8"/>
    </row>
    <row r="16" spans="2:32" ht="15.75" customHeight="1">
      <c r="B16" s="9"/>
      <c r="C16" s="9"/>
      <c r="D16" s="9"/>
      <c r="E16" s="9"/>
      <c r="F16" s="9"/>
      <c r="G16" s="9"/>
      <c r="H16" s="9"/>
      <c r="I16" s="9"/>
      <c r="J16" s="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9"/>
      <c r="AA16" s="9"/>
      <c r="AB16" s="9"/>
      <c r="AC16" s="9"/>
    </row>
    <row r="17" spans="2:29" ht="16.5" customHeight="1">
      <c r="B17" s="7">
        <v>5</v>
      </c>
      <c r="C17" s="7" t="s">
        <v>18</v>
      </c>
      <c r="D17" s="10">
        <v>41050</v>
      </c>
      <c r="E17" s="7" t="str">
        <f>IF(OR(D17="",NOT(ISNUMBER(D17))),"",DATEDIF(D17,$C$2+1,"Y")&amp;"년 "&amp;DATEDIF(D17,$C$2+1,"YM")&amp;"개월 "&amp;DATEDIF(D17,$C$2+1,"MD")&amp;"일")</f>
        <v>14년 7개월 11일</v>
      </c>
      <c r="F17" s="7">
        <f>IF(OR(D17="",NOT(ISNUMBER(D17))),"",DATEDIF(D17,$C$2,"Y"))</f>
        <v>14</v>
      </c>
      <c r="G17" s="7">
        <f>IF(OR(D17="",NOT(ISNUMBER(D17))),"",IF(F17=0,0,15))</f>
        <v>15</v>
      </c>
      <c r="H17" s="7">
        <f>IF(OR(D17="",NOT(ISNUMBER(D17))),"",IF(F17=0,MIN(11,DATEDIF(D17,$C$2+1,"M")),IF(F17&gt;=2,MIN(10,INT((F17-1)/2)),0)))</f>
        <v>6</v>
      </c>
      <c r="I17" s="7">
        <f>IF(OR(D17="",NOT(ISNUMBER(D17))),"",IF(F17=0,H17,MIN(25,G17+H17)))</f>
        <v>21</v>
      </c>
      <c r="J17" s="4" t="s">
        <v>14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>
        <f>COUNTA(K17:Y17)</f>
        <v>0</v>
      </c>
      <c r="AA17" s="11">
        <f>Z17+Z18/2</f>
        <v>0</v>
      </c>
      <c r="AB17" s="11">
        <f>I17-AA17</f>
        <v>21</v>
      </c>
      <c r="AC17" s="13"/>
    </row>
    <row r="18" spans="2:29" ht="16.5" customHeight="1">
      <c r="B18" s="8"/>
      <c r="C18" s="8"/>
      <c r="D18" s="8"/>
      <c r="E18" s="8"/>
      <c r="F18" s="8"/>
      <c r="G18" s="8"/>
      <c r="H18" s="8"/>
      <c r="I18" s="8"/>
      <c r="J18" s="12" t="s">
        <v>15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1">
        <f>COUNTA(K18:Y19)</f>
        <v>0</v>
      </c>
      <c r="AA18" s="8"/>
      <c r="AB18" s="8"/>
      <c r="AC18" s="8"/>
    </row>
    <row r="19" spans="2:29" ht="16.5" customHeight="1">
      <c r="B19" s="9"/>
      <c r="C19" s="9"/>
      <c r="D19" s="9"/>
      <c r="E19" s="9"/>
      <c r="F19" s="9"/>
      <c r="G19" s="9"/>
      <c r="H19" s="9"/>
      <c r="I19" s="9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9"/>
      <c r="AA19" s="9"/>
      <c r="AB19" s="9"/>
      <c r="AC19" s="9"/>
    </row>
    <row r="20" spans="2:29" ht="16.5" customHeight="1">
      <c r="B20" s="7">
        <v>6</v>
      </c>
      <c r="C20" s="7" t="s">
        <v>19</v>
      </c>
      <c r="D20" s="10">
        <v>41549</v>
      </c>
      <c r="E20" s="7" t="str">
        <f>IF(OR(D20="",NOT(ISNUMBER(D20))),"",DATEDIF(D20,$C$2+1,"Y")&amp;"년 "&amp;DATEDIF(D20,$C$2+1,"YM")&amp;"개월 "&amp;DATEDIF(D20,$C$2+1,"MD")&amp;"일")</f>
        <v>13년 2개월 30일</v>
      </c>
      <c r="F20" s="7">
        <f>IF(OR(D20="",NOT(ISNUMBER(D20))),"",DATEDIF(D20,$C$2,"Y"))</f>
        <v>13</v>
      </c>
      <c r="G20" s="7">
        <f>IF(OR(D20="",NOT(ISNUMBER(D20))),"",IF(F20=0,0,15))</f>
        <v>15</v>
      </c>
      <c r="H20" s="7">
        <f>IF(OR(D20="",NOT(ISNUMBER(D20))),"",IF(F20=0,MIN(11,DATEDIF(D20,$C$2+1,"M")),IF(F20&gt;=2,MIN(10,INT((F20-1)/2)),0)))</f>
        <v>6</v>
      </c>
      <c r="I20" s="7">
        <f>IF(OR(D20="",NOT(ISNUMBER(D20))),"",IF(F20=0,H20,MIN(25,G20+H20)))</f>
        <v>21</v>
      </c>
      <c r="J20" s="4" t="s">
        <v>14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>
        <f>COUNTA(K20:Y20)</f>
        <v>0</v>
      </c>
      <c r="AA20" s="11">
        <f>Z20+Z21/2</f>
        <v>0</v>
      </c>
      <c r="AB20" s="11">
        <f>I20-AA20</f>
        <v>21</v>
      </c>
      <c r="AC20" s="13"/>
    </row>
    <row r="21" spans="2:29" ht="16.5" customHeight="1">
      <c r="B21" s="8"/>
      <c r="C21" s="8"/>
      <c r="D21" s="8"/>
      <c r="E21" s="8"/>
      <c r="F21" s="8"/>
      <c r="G21" s="8"/>
      <c r="H21" s="8"/>
      <c r="I21" s="8"/>
      <c r="J21" s="12" t="s">
        <v>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1">
        <f>COUNTA(K21:Y22)</f>
        <v>0</v>
      </c>
      <c r="AA21" s="8"/>
      <c r="AB21" s="8"/>
      <c r="AC21" s="8"/>
    </row>
    <row r="22" spans="2:29" ht="16.5" customHeight="1">
      <c r="B22" s="9"/>
      <c r="C22" s="9"/>
      <c r="D22" s="9"/>
      <c r="E22" s="9"/>
      <c r="F22" s="9"/>
      <c r="G22" s="9"/>
      <c r="H22" s="9"/>
      <c r="I22" s="9"/>
      <c r="J22" s="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9"/>
      <c r="AA22" s="9"/>
      <c r="AB22" s="9"/>
      <c r="AC22" s="9"/>
    </row>
    <row r="23" spans="2:29" ht="16.5" customHeight="1">
      <c r="B23" s="7">
        <v>7</v>
      </c>
      <c r="C23" s="7" t="s">
        <v>20</v>
      </c>
      <c r="D23" s="10">
        <v>43979</v>
      </c>
      <c r="E23" s="7" t="str">
        <f>IF(OR(D23="",NOT(ISNUMBER(D23))),"",DATEDIF(D23,$C$2+1,"Y")&amp;"년 "&amp;DATEDIF(D23,$C$2+1,"YM")&amp;"개월 "&amp;DATEDIF(D23,$C$2+1,"MD")&amp;"일")</f>
        <v>6년 7개월 4일</v>
      </c>
      <c r="F23" s="7">
        <f>IF(OR(D23="",NOT(ISNUMBER(D23))),"",DATEDIF(D23,$C$2,"Y"))</f>
        <v>6</v>
      </c>
      <c r="G23" s="7">
        <f>IF(OR(D23="",NOT(ISNUMBER(D23))),"",IF(F23=0,0,15))</f>
        <v>15</v>
      </c>
      <c r="H23" s="7">
        <f>IF(OR(D23="",NOT(ISNUMBER(D23))),"",IF(F23=0,MIN(11,DATEDIF(D23,$C$2+1,"M")),IF(F23&gt;=2,MIN(10,INT((F23-1)/2)),0)))</f>
        <v>2</v>
      </c>
      <c r="I23" s="7">
        <f>IF(OR(D23="",NOT(ISNUMBER(D23))),"",IF(F23=0,H23,MIN(25,G23+H23)))</f>
        <v>17</v>
      </c>
      <c r="J23" s="4" t="s">
        <v>14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>
        <f>COUNTA(K23:Y23)</f>
        <v>0</v>
      </c>
      <c r="AA23" s="11">
        <f>Z23+Z24/2</f>
        <v>0</v>
      </c>
      <c r="AB23" s="11">
        <f>I23-AA23</f>
        <v>17</v>
      </c>
      <c r="AC23" s="13"/>
    </row>
    <row r="24" spans="2:29" ht="16.5" customHeight="1">
      <c r="B24" s="8"/>
      <c r="C24" s="8"/>
      <c r="D24" s="8"/>
      <c r="E24" s="8"/>
      <c r="F24" s="8"/>
      <c r="G24" s="8"/>
      <c r="H24" s="8"/>
      <c r="I24" s="8"/>
      <c r="J24" s="12" t="s">
        <v>15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1">
        <f>COUNTA(K24:Y25)</f>
        <v>0</v>
      </c>
      <c r="AA24" s="8"/>
      <c r="AB24" s="8"/>
      <c r="AC24" s="8"/>
    </row>
    <row r="25" spans="2:29" ht="16.5" customHeight="1">
      <c r="B25" s="9"/>
      <c r="C25" s="9"/>
      <c r="D25" s="9"/>
      <c r="E25" s="9"/>
      <c r="F25" s="9"/>
      <c r="G25" s="9"/>
      <c r="H25" s="9"/>
      <c r="I25" s="9"/>
      <c r="J25" s="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9"/>
      <c r="AA25" s="9"/>
      <c r="AB25" s="9"/>
      <c r="AC25" s="9"/>
    </row>
    <row r="26" spans="2:29" ht="16.5" customHeight="1">
      <c r="B26" s="7">
        <v>8</v>
      </c>
      <c r="C26" s="7" t="s">
        <v>21</v>
      </c>
      <c r="D26" s="10">
        <v>44722</v>
      </c>
      <c r="E26" s="7" t="str">
        <f>IF(OR(D26="",NOT(ISNUMBER(D26))),"",DATEDIF(D26,$C$2+1,"Y")&amp;"년 "&amp;DATEDIF(D26,$C$2+1,"YM")&amp;"개월 "&amp;DATEDIF(D26,$C$2+1,"MD")&amp;"일")</f>
        <v>4년 6개월 22일</v>
      </c>
      <c r="F26" s="7">
        <f>IF(OR(D26="",NOT(ISNUMBER(D26))),"",DATEDIF(D26,$C$2,"Y"))</f>
        <v>4</v>
      </c>
      <c r="G26" s="7">
        <f>IF(OR(D26="",NOT(ISNUMBER(D26))),"",IF(F26=0,0,15))</f>
        <v>15</v>
      </c>
      <c r="H26" s="7">
        <f>IF(OR(D26="",NOT(ISNUMBER(D26))),"",IF(F26=0,MIN(11,DATEDIF(D26,$C$2+1,"M")),IF(F26&gt;=2,MIN(10,INT((F26-1)/2)),0)))</f>
        <v>1</v>
      </c>
      <c r="I26" s="7">
        <f>IF(OR(D26="",NOT(ISNUMBER(D26))),"",IF(F26=0,H26,MIN(25,G26+H26)))</f>
        <v>16</v>
      </c>
      <c r="J26" s="4" t="s">
        <v>14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>
        <f>COUNTA(K26:Y26)</f>
        <v>0</v>
      </c>
      <c r="AA26" s="11">
        <f>Z26+Z27/2</f>
        <v>0</v>
      </c>
      <c r="AB26" s="11">
        <f>I26-AA26</f>
        <v>16</v>
      </c>
      <c r="AC26" s="13"/>
    </row>
    <row r="27" spans="2:29" ht="16.5" customHeight="1">
      <c r="B27" s="8"/>
      <c r="C27" s="8"/>
      <c r="D27" s="8"/>
      <c r="E27" s="8"/>
      <c r="F27" s="8"/>
      <c r="G27" s="8"/>
      <c r="H27" s="8"/>
      <c r="I27" s="8"/>
      <c r="J27" s="12" t="s">
        <v>15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1">
        <f>COUNTA(K27:Y28)</f>
        <v>0</v>
      </c>
      <c r="AA27" s="8"/>
      <c r="AB27" s="8"/>
      <c r="AC27" s="8"/>
    </row>
    <row r="28" spans="2:29" ht="16.5" customHeight="1">
      <c r="B28" s="9"/>
      <c r="C28" s="9"/>
      <c r="D28" s="9"/>
      <c r="E28" s="9"/>
      <c r="F28" s="9"/>
      <c r="G28" s="9"/>
      <c r="H28" s="9"/>
      <c r="I28" s="9"/>
      <c r="J28" s="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9"/>
      <c r="AA28" s="9"/>
      <c r="AB28" s="9"/>
      <c r="AC28" s="9"/>
    </row>
    <row r="29" spans="2:29" ht="16.5" customHeight="1">
      <c r="B29" s="7">
        <v>9</v>
      </c>
      <c r="C29" s="7" t="s">
        <v>22</v>
      </c>
      <c r="D29" s="10">
        <v>45809</v>
      </c>
      <c r="E29" s="7" t="str">
        <f>IF(OR(D29="",NOT(ISNUMBER(D29))),"",DATEDIF(D29,$C$2+1,"Y")&amp;"년 "&amp;DATEDIF(D29,$C$2+1,"YM")&amp;"개월 "&amp;DATEDIF(D29,$C$2+1,"MD")&amp;"일")</f>
        <v>1년 7개월 0일</v>
      </c>
      <c r="F29" s="7">
        <f>IF(OR(D29="",NOT(ISNUMBER(D29))),"",DATEDIF(D29,$C$2,"Y"))</f>
        <v>1</v>
      </c>
      <c r="G29" s="7">
        <f>IF(OR(D29="",NOT(ISNUMBER(D29))),"",IF(F29=0,0,15))</f>
        <v>15</v>
      </c>
      <c r="H29" s="7">
        <f>IF(OR(D29="",NOT(ISNUMBER(D29))),"",IF(F29=0,MIN(11,DATEDIF(D29,$C$2+1,"M")),IF(F29&gt;=2,MIN(10,INT((F29-1)/2)),0)))</f>
        <v>0</v>
      </c>
      <c r="I29" s="7">
        <f>IF(OR(D29="",NOT(ISNUMBER(D29))),"",IF(F29=0,H29,MIN(25,G29+H29)))</f>
        <v>15</v>
      </c>
      <c r="J29" s="4" t="s">
        <v>14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5">
        <f>COUNTA(K29:Y29)</f>
        <v>0</v>
      </c>
      <c r="AA29" s="11">
        <f>Z29+Z30/2</f>
        <v>0</v>
      </c>
      <c r="AB29" s="11">
        <f>I29-AA29</f>
        <v>15</v>
      </c>
      <c r="AC29" s="13"/>
    </row>
    <row r="30" spans="2:29" ht="16.5" customHeight="1">
      <c r="B30" s="8"/>
      <c r="C30" s="8"/>
      <c r="D30" s="8"/>
      <c r="E30" s="8"/>
      <c r="F30" s="8"/>
      <c r="G30" s="8"/>
      <c r="H30" s="8"/>
      <c r="I30" s="8"/>
      <c r="J30" s="12" t="s">
        <v>15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1">
        <f>COUNTA(K30:Y31)</f>
        <v>0</v>
      </c>
      <c r="AA30" s="8"/>
      <c r="AB30" s="8"/>
      <c r="AC30" s="8"/>
    </row>
    <row r="31" spans="2:29" ht="16.5" customHeight="1">
      <c r="B31" s="9"/>
      <c r="C31" s="9"/>
      <c r="D31" s="9"/>
      <c r="E31" s="9"/>
      <c r="F31" s="9"/>
      <c r="G31" s="9"/>
      <c r="H31" s="9"/>
      <c r="I31" s="9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9"/>
      <c r="AA31" s="9"/>
      <c r="AB31" s="9"/>
      <c r="AC31" s="9"/>
    </row>
    <row r="32" spans="2:29" ht="16.5" customHeight="1">
      <c r="B32" s="7">
        <v>10</v>
      </c>
      <c r="C32" s="7" t="s">
        <v>33</v>
      </c>
      <c r="D32" s="10">
        <v>46023</v>
      </c>
      <c r="E32" s="7" t="str">
        <f ca="1">IF(D32="","",
  IF(DATEDIF(D32,TODAY(),"M")=0,
    TEXT(DATEDIF(D32,TODAY(),"D"),"00")&amp;"일",
    TEXT(DATEDIF(D32,TODAY(),"Y"),"00")&amp;"년 "&amp;TEXT(DATEDIF(D32,TODAY(),"YM"),"00")&amp;"개월 "&amp;TEXT(DATEDIF(D32,TODAY(),"MD"),"00")&amp;"일"
  )
)</f>
        <v>07일</v>
      </c>
      <c r="F32" s="7">
        <f>IF(OR(D32="",NOT(ISNUMBER(D32))),"",DATEDIF(D32,$C$2,"Y"))</f>
        <v>0</v>
      </c>
      <c r="G32" s="7">
        <f>IF(OR(D32="",NOT(ISNUMBER(D32))),"",IF(F32=0,0,15))</f>
        <v>0</v>
      </c>
      <c r="H32" s="7">
        <f>IF(OR(D32="",NOT(ISNUMBER(D32))),"",IF(F32=0,MIN(11,DATEDIF(D32,$C$2+1,"M")),IF(F32&gt;=2,MIN(10,INT((F32-1)/2)),0)))</f>
        <v>11</v>
      </c>
      <c r="I32" s="7">
        <f>IF(OR(D32="",NOT(ISNUMBER(D32))),"",IF(F32=0,H32,MIN(25,G32+H32)))</f>
        <v>11</v>
      </c>
      <c r="J32" s="4" t="s">
        <v>14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5">
        <f>COUNTA(K32:Y32)</f>
        <v>0</v>
      </c>
      <c r="AA32" s="11">
        <f>Z32+Z33/2</f>
        <v>0</v>
      </c>
      <c r="AB32" s="11">
        <f>I32-AA32</f>
        <v>11</v>
      </c>
      <c r="AC32" s="13"/>
    </row>
    <row r="33" spans="2:29" ht="16.5" customHeight="1">
      <c r="B33" s="8"/>
      <c r="C33" s="8"/>
      <c r="D33" s="8"/>
      <c r="E33" s="8"/>
      <c r="F33" s="8"/>
      <c r="G33" s="8"/>
      <c r="H33" s="8"/>
      <c r="I33" s="8"/>
      <c r="J33" s="12" t="s">
        <v>15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1">
        <f>COUNTA(K33:Y34)</f>
        <v>0</v>
      </c>
      <c r="AA33" s="8"/>
      <c r="AB33" s="8"/>
      <c r="AC33" s="8"/>
    </row>
    <row r="34" spans="2:29" ht="16.5" customHeight="1">
      <c r="B34" s="9"/>
      <c r="C34" s="9"/>
      <c r="D34" s="9"/>
      <c r="E34" s="9"/>
      <c r="F34" s="9"/>
      <c r="G34" s="9"/>
      <c r="H34" s="9"/>
      <c r="I34" s="9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9"/>
      <c r="AA34" s="9"/>
      <c r="AB34" s="9"/>
      <c r="AC34" s="9"/>
    </row>
    <row r="35" spans="2:29" ht="16.5" customHeight="1">
      <c r="B35" s="2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2:29" ht="16.5" customHeight="1">
      <c r="B36" s="2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9" ht="16.5" customHeight="1">
      <c r="B37" s="24" t="s">
        <v>23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9" ht="16.5" customHeight="1">
      <c r="B38" s="24" t="s">
        <v>24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2:29" ht="16.5" customHeight="1">
      <c r="B39" s="24" t="s">
        <v>25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2:29" ht="16.5" customHeight="1">
      <c r="B40" s="24" t="s">
        <v>26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2:29" ht="16.5" customHeight="1">
      <c r="B41" s="24" t="s">
        <v>27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9" ht="16.5" customHeight="1">
      <c r="B42" s="24" t="s">
        <v>28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2:29" ht="16.5" customHeight="1">
      <c r="B43" s="2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2:29" ht="16.5" customHeight="1">
      <c r="B44" s="2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9" ht="16.5" customHeight="1">
      <c r="B45" s="2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9" ht="16.5" customHeight="1">
      <c r="B46" s="2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9" ht="16.5" customHeight="1">
      <c r="B47" s="2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9" ht="16.5" customHeight="1">
      <c r="B48" s="2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 ht="16.5" customHeight="1">
      <c r="B49" s="2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16.5" customHeight="1">
      <c r="B50" s="2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16.5" customHeight="1">
      <c r="B51" s="2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16.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2:28" ht="16.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2:28" ht="16.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2:28" ht="16.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2:28" ht="16.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2:28" ht="16.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2:28" ht="16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2:28" ht="16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2:28" ht="16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2:28" ht="16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2:28" ht="16.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2:28" ht="16.5" customHeight="1">
      <c r="B63" s="25" t="s">
        <v>29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2:28" ht="16.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2:28" ht="16.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2:28" ht="16.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2:28" ht="16.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2:28" ht="16.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2:28" ht="16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2:28" ht="16.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2:28" ht="16.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2:28" ht="16.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2:28" ht="16.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2:28" ht="16.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2:28" ht="16.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2:28" ht="16.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2:28" ht="16.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2:28" ht="16.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2:28" ht="16.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2:28" ht="16.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2:28" ht="16.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2:28" ht="16.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2:28" ht="16.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2:28" ht="16.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2:28" ht="16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2:28" ht="16.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2:28" ht="16.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2:28" ht="16.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2:28" ht="16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2:28" ht="16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2:28" ht="16.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2:28" ht="16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2:28" ht="16.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2:28" ht="16.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2:28" ht="16.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28" ht="16.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2:28" ht="16.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2:28" ht="16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2:28" ht="16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2:28" ht="16.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2:28" ht="16.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ht="16.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2:28" ht="16.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2:28" ht="16.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2:28" ht="16.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2:28" ht="16.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2:28" ht="16.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2:28" ht="16.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2:28" ht="16.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2:28" ht="16.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2:28" ht="16.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2:28" ht="16.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ht="16.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ht="16.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ht="16.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ht="16.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ht="16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ht="16.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2:28" ht="16.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2:28" ht="16.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2:28" ht="16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2:28" ht="16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2:28" ht="16.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ht="16.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2:28" ht="16.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2:28" ht="16.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ht="16.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2:28" ht="16.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2:28" ht="16.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2:28" ht="16.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2:28" ht="16.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2:28" ht="16.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2:28" ht="16.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2:28" ht="16.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2:28" ht="16.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2:28" ht="16.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2:28" ht="16.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2:28" ht="16.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2:28" ht="16.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2:28" ht="16.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2:28" ht="16.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ht="16.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2:28" ht="16.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2:28" ht="16.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2:28" ht="16.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2:28" ht="16.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2:28" ht="16.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2:28" ht="16.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2:28" ht="16.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2:28" ht="16.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2:28" ht="16.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2:28" ht="16.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2:28" ht="16.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2:28" ht="16.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2:28" ht="16.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2:28" ht="16.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2:28" ht="16.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2:28" ht="16.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2:28" ht="16.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2:28" ht="16.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2:28" ht="16.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ht="16.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2:28" ht="16.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2:28" ht="16.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2:28" ht="16.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2:28" ht="16.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2:28" ht="16.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2:28" ht="16.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2:28" ht="16.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2:28" ht="16.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2:28" ht="16.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2:28" ht="16.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2:28" ht="16.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2:28" ht="16.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2:28" ht="16.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2:28" ht="16.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2:28" ht="16.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2:28" ht="16.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2:28" ht="16.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2:28" ht="16.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2:28" ht="16.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ht="16.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2:28" ht="16.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2:28" ht="16.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2:28" ht="16.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2:28" ht="16.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2:28" ht="16.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2:28" ht="16.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2:28" ht="16.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2:28" ht="16.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2:28" ht="16.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2:28" ht="16.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2:28" ht="16.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2:28" ht="16.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2:28" ht="16.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2:28" ht="16.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2:28" ht="16.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2:28" ht="16.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2:28" ht="16.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2:28" ht="16.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2:28" ht="16.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ht="16.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2:28" ht="16.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2:28" ht="16.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2:28" ht="16.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2:28" ht="16.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2:28" ht="16.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2:28" ht="16.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2:28" ht="16.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2:28" ht="16.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2:28" ht="16.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2:28" ht="16.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2:28" ht="16.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2:28" ht="16.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2:28" ht="16.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2:28" ht="16.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2:28" ht="16.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ht="16.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2:28" ht="16.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2:28" ht="16.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2:28" ht="16.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ht="16.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2:28" ht="16.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2:28" ht="16.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2:28" ht="16.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2:28" ht="16.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2:28" ht="16.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2:28" ht="16.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2:28" ht="16.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2:28" ht="16.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2:28" ht="16.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2:28" ht="16.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2:28" ht="16.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2:28" ht="16.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2:28" ht="16.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2:28" ht="16.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2:28" ht="16.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2:28" ht="16.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2:28" ht="16.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2:28" ht="16.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2:28" ht="16.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ht="16.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2:28" ht="16.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2:28" ht="16.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2:28" ht="16.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2:28" ht="16.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2:28" ht="16.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2:28" ht="16.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2:28" ht="16.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2:28" ht="16.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2:28" ht="16.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2:28" ht="16.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2:28" ht="16.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2:28" ht="16.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2:28" ht="16.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2:28" ht="16.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2:28" ht="16.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2:28" ht="16.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2:28" ht="16.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2:28" ht="16.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2:28" ht="16.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ht="16.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2:28" ht="16.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2:28" ht="16.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2:28" ht="16.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2:28" ht="16.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2:28" ht="16.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2:28" ht="16.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2:28" ht="16.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2:28" ht="16.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2:28" ht="16.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2:28" ht="16.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2:28" ht="16.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2:28" ht="16.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2:28" ht="16.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2:28" ht="16.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2:28" ht="16.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2:28" ht="16.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2:28" ht="16.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2:28" ht="16.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2:28" ht="16.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ht="16.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2:28" ht="16.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2:28" ht="16.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2:28" ht="16.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2:28" ht="16.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2:28" ht="16.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2:28" ht="16.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2:28" ht="16.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2:28" ht="16.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2:28" ht="16.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2:28" ht="16.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2:28" ht="16.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2:28" ht="16.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2:28" ht="16.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2:28" ht="16.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2:28" ht="16.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2:28" ht="16.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2:28" ht="16.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2:28" ht="16.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2:28" ht="16.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ht="16.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2:28" ht="16.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2:28" ht="16.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2:28" ht="16.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2:28" ht="16.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2:28" ht="16.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2:28" ht="16.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2:28" ht="16.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2:28" ht="16.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2:28" ht="16.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2:28" ht="16.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2:28" ht="16.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2:28" ht="16.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2:28" ht="16.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2:28" ht="16.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2:28" ht="16.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2:28" ht="16.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2:28" ht="16.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2:28" ht="16.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2:28" ht="16.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ht="16.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2:28" ht="16.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2:28" ht="16.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2:28" ht="16.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2:28" ht="16.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2:28" ht="16.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2:28" ht="16.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2:28" ht="16.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2:28" ht="16.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2:28" ht="16.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2:28" ht="16.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2:28" ht="16.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2:28" ht="16.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2:28" ht="16.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2:28" ht="16.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2:28" ht="16.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2:28" ht="16.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2:28" ht="16.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2:28" ht="16.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2:28" ht="16.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ht="16.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2:28" ht="16.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2:28" ht="16.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2:28" ht="16.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2:28" ht="16.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2:28" ht="16.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2:28" ht="16.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2:28" ht="16.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2:28" ht="16.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2:28" ht="16.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2:28" ht="16.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2:28" ht="16.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2:28" ht="16.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2:28" ht="16.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2:28" ht="16.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2:28" ht="16.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2:28" ht="16.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2:28" ht="16.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2:28" ht="16.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2:28" ht="16.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ht="16.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2:28" ht="16.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2:28" ht="16.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2:28" ht="16.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2:28" ht="16.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2:28" ht="16.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2:28" ht="16.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2:28" ht="16.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2:28" ht="16.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2:28" ht="16.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2:28" ht="16.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2:28" ht="16.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2:28" ht="16.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2:28" ht="16.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2:28" ht="16.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2:28" ht="16.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2:28" ht="16.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2:28" ht="16.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2:28" ht="16.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2:28" ht="16.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ht="16.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2:28" ht="16.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2:28" ht="16.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2:28" ht="16.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2:28" ht="16.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2:28" ht="16.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2:28" ht="16.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2:28" ht="16.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2:28" ht="16.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2:28" ht="16.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2:28" ht="16.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2:28" ht="16.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2:28" ht="16.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2:28" ht="16.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2:28" ht="16.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2:28" ht="16.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2:28" ht="16.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2:28" ht="16.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2:28" ht="16.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2:28" ht="16.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2:28" ht="16.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2:28" ht="16.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2:28" ht="16.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ht="16.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2:28" ht="16.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2:28" ht="16.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2:28" ht="16.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2:28" ht="16.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2:28" ht="16.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2:28" ht="16.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2:28" ht="16.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2:28" ht="16.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2:28" ht="16.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2:28" ht="16.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2:28" ht="16.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2:28" ht="16.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2:28" ht="16.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2:28" ht="16.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2:28" ht="16.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2:28" ht="16.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2:28" ht="16.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2:28" ht="16.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2:28" ht="16.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ht="16.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2:28" ht="16.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2:28" ht="16.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2:28" ht="16.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2:28" ht="16.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2:28" ht="16.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2:28" ht="16.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2:28" ht="16.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2:28" ht="16.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2:28" ht="16.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2:28" ht="16.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2:28" ht="16.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2:28" ht="16.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2:28" ht="16.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2:28" ht="16.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2:28" ht="16.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2:28" ht="16.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2:28" ht="16.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2:28" ht="16.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2:28" ht="16.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ht="16.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2:28" ht="16.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2:28" ht="16.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2:28" ht="16.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2:28" ht="16.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2:28" ht="16.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2:28" ht="16.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2:28" ht="16.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2:28" ht="16.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2:28" ht="16.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2:28" ht="16.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2:28" ht="16.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2:28" ht="16.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2:28" ht="16.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2:28" ht="16.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2:28" ht="16.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2:28" ht="16.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2:28" ht="16.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2:28" ht="16.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2:28" ht="16.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ht="16.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2:28" ht="16.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2:28" ht="16.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2:28" ht="16.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2:28" ht="16.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2:28" ht="16.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2:28" ht="16.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2:28" ht="16.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2:28" ht="16.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2:28" ht="16.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2:28" ht="16.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2:28" ht="16.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2:28" ht="16.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2:28" ht="16.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2:28" ht="16.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2:28" ht="16.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2:28" ht="16.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2:28" ht="16.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2:28" ht="16.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2:28" ht="16.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2:28" ht="16.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2:28" ht="16.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2:28" ht="16.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2:28" ht="16.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2:28" ht="16.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2:28" ht="16.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2:28" ht="16.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2:28" ht="16.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2:28" ht="16.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2:28" ht="16.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ht="16.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2:28" ht="16.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2:28" ht="16.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2:28" ht="16.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2:28" ht="16.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2:28" ht="16.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2:28" ht="16.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2:28" ht="16.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2:28" ht="16.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2:28" ht="16.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2:28" ht="16.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2:28" ht="16.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2:28" ht="16.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2:28" ht="16.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2:28" ht="16.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2:28" ht="16.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2:28" ht="16.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2:28" ht="16.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2:28" ht="16.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2:28" ht="16.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2:28" ht="16.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2:28" ht="16.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2:28" ht="16.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2:28" ht="16.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2:28" ht="16.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2:28" ht="16.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2:28" ht="16.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2:28" ht="16.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2:28" ht="16.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2:28" ht="16.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2:28" ht="16.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2:28" ht="16.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2:28" ht="16.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2:28" ht="16.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2:28" ht="16.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2:28" ht="16.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2:28" ht="16.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2:28" ht="16.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2:28" ht="16.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2:28" ht="16.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2:28" ht="16.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2:28" ht="16.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2:28" ht="16.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2:28" ht="16.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2:28" ht="16.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2:28" ht="16.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2:28" ht="16.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2:28" ht="16.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2:28" ht="16.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2:28" ht="16.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2:28" ht="16.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2:28" ht="16.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2:28" ht="16.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2:28" ht="16.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2:28" ht="16.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2:28" ht="16.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2:28" ht="16.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2:28" ht="16.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2:28" ht="16.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2:28" ht="16.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2:28" ht="16.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2:28" ht="16.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2:28" ht="16.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2:28" ht="16.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2:28" ht="16.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2:28" ht="16.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2:28" ht="16.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2:28" ht="16.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2:28" ht="16.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2:28" ht="16.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2:28" ht="16.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2:28" ht="16.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2:28" ht="16.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2:28" ht="16.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2:28" ht="16.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2:28" ht="16.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2:28" ht="16.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2:28" ht="16.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2:28" ht="16.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2:28" ht="16.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2:28" ht="16.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2:28" ht="16.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2:28" ht="16.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2:28" ht="16.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2:28" ht="16.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2:28" ht="16.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2:28" ht="16.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2:28" ht="16.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2:28" ht="16.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2:28" ht="16.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2:28" ht="16.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2:28" ht="16.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2:28" ht="16.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2:28" ht="16.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2:28" ht="16.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2:28" ht="16.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2:28" ht="16.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2:28" ht="16.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2:28" ht="16.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2:28" ht="16.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2:28" ht="16.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2:28" ht="16.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2:28" ht="16.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2:28" ht="16.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2:28" ht="16.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2:28" ht="16.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2:28" ht="16.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2:28" ht="16.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2:28" ht="16.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2:28" ht="16.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2:28" ht="16.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2:28" ht="16.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2:28" ht="16.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2:28" ht="16.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2:28" ht="16.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2:28" ht="16.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2:28" ht="16.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2:28" ht="16.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2:28" ht="16.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2:28" ht="16.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2:28" ht="16.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2:28" ht="16.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2:28" ht="16.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2:28" ht="16.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2:28" ht="16.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2:28" ht="16.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2:28" ht="16.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2:28" ht="16.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2:28" ht="16.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2:28" ht="16.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2:28" ht="16.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2:28" ht="16.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2:28" ht="16.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2:28" ht="16.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2:28" ht="16.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2:28" ht="16.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2:28" ht="16.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2:28" ht="16.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2:28" ht="16.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2:28" ht="16.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2:28" ht="16.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2:28" ht="16.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2:28" ht="16.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2:28" ht="16.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2:28" ht="16.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2:28" ht="16.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2:28" ht="16.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2:28" ht="16.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2:28" ht="16.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2:28" ht="16.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2:28" ht="16.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2:28" ht="16.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2:28" ht="16.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2:28" ht="16.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2:28" ht="16.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ht="16.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2:28" ht="16.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2:28" ht="16.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2:28" ht="16.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2:28" ht="16.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2:28" ht="16.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2:28" ht="16.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2:28" ht="16.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2:28" ht="16.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2:28" ht="16.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2:28" ht="16.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2:28" ht="16.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2:28" ht="16.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2:28" ht="16.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2:28" ht="16.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2:28" ht="16.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2:28" ht="16.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2:28" ht="16.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2:28" ht="16.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2:28" ht="16.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2:28" ht="16.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2:28" ht="16.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2:28" ht="16.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2:28" ht="16.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2:28" ht="16.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2:28" ht="16.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2:28" ht="16.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2:28" ht="16.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2:28" ht="16.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2:28" ht="16.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2:28" ht="16.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2:28" ht="16.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2:28" ht="16.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2:28" ht="16.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2:28" ht="16.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2:28" ht="16.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2:28" ht="16.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2:28" ht="16.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2:28" ht="16.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2:28" ht="16.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2:28" ht="16.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2:28" ht="16.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2:28" ht="16.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2:28" ht="16.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2:28" ht="16.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2:28" ht="16.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2:28" ht="16.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2:28" ht="16.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2:28" ht="16.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2:28" ht="16.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2:28" ht="16.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2:28" ht="16.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2:28" ht="16.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2:28" ht="16.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2:28" ht="16.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2:28" ht="16.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2:28" ht="16.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2:28" ht="16.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2:28" ht="16.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2:28" ht="16.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2:28" ht="16.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2:28" ht="16.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2:28" ht="16.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2:28" ht="16.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2:28" ht="16.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2:28" ht="16.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2:28" ht="16.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2:28" ht="16.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2:28" ht="16.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2:28" ht="16.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2:28" ht="16.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2:28" ht="16.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2:28" ht="16.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2:28" ht="16.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2:28" ht="16.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2:28" ht="16.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2:28" ht="16.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2:28" ht="16.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2:28" ht="16.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2:28" ht="16.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2:28" ht="16.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2:28" ht="16.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2:28" ht="16.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2:28" ht="16.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2:28" ht="16.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2:28" ht="16.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2:28" ht="16.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2:28" ht="16.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2:28" ht="16.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2:28" ht="16.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2:28" ht="16.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2:28" ht="16.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2:28" ht="16.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2:28" ht="16.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2:28" ht="16.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2:28" ht="16.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2:28" ht="16.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2:28" ht="16.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2:28" ht="16.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2:28" ht="16.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2:28" ht="16.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2:28" ht="16.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2:28" ht="16.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2:28" ht="16.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2:28" ht="16.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2:28" ht="16.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2:28" ht="16.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2:28" ht="16.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2:28" ht="16.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2:28" ht="16.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2:28" ht="16.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2:28" ht="16.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2:28" ht="16.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2:28" ht="16.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2:28" ht="16.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2:28" ht="16.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2:28" ht="16.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2:28" ht="16.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2:28" ht="16.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2:28" ht="16.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2:28" ht="16.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2:28" ht="16.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2:28" ht="16.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2:28" ht="16.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2:28" ht="16.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2:28" ht="16.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2:28" ht="16.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2:28" ht="16.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2:28" ht="16.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2:28" ht="16.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2:28" ht="16.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2:28" ht="16.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2:28" ht="16.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2:28" ht="16.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2:28" ht="16.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2:28" ht="16.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2:28" ht="16.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2:28" ht="16.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2:28" ht="16.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2:28" ht="16.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2:28" ht="16.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2:28" ht="16.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2:28" ht="16.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2:28" ht="16.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2:28" ht="16.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2:28" ht="16.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2:28" ht="16.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2:28" ht="16.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2:28" ht="16.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2:28" ht="16.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2:28" ht="16.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2:28" ht="16.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2:28" ht="16.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2:28" ht="16.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2:28" ht="16.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2:28" ht="16.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2:28" ht="16.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2:28" ht="16.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2:28" ht="16.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2:28" ht="16.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2:28" ht="16.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2:28" ht="16.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2:28" ht="16.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2:28" ht="16.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2:28" ht="16.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2:28" ht="16.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2:28" ht="16.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2:28" ht="16.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2:28" ht="16.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2:28" ht="16.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2:28" ht="16.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2:28" ht="16.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2:28" ht="16.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2:28" ht="16.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2:28" ht="16.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2:28" ht="16.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2:28" ht="16.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2:28" ht="16.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2:28" ht="16.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2:28" ht="16.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2:28" ht="16.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2:28" ht="16.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2:28" ht="16.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2:28" ht="16.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2:28" ht="16.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2:28" ht="16.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2:28" ht="16.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2:28" ht="16.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2:28" ht="16.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2:28" ht="16.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2:28" ht="16.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2:28" ht="16.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2:28" ht="16.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2:28" ht="16.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2:28" ht="16.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2:28" ht="16.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2:28" ht="16.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2:28" ht="16.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2:28" ht="16.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2:28" ht="16.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2:28" ht="16.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2:28" ht="16.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2:28" ht="16.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2:28" ht="16.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2:28" ht="16.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2:28" ht="16.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2:28" ht="16.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2:28" ht="16.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2:28" ht="16.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2:28" ht="16.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2:28" ht="16.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2:28" ht="16.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2:28" ht="16.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2:28" ht="16.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2:28" ht="16.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2:28" ht="16.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2:28" ht="16.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2:28" ht="16.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2:28" ht="16.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2:28" ht="16.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2:28" ht="16.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2:28" ht="16.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2:28" ht="16.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2:28" ht="16.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2:28" ht="16.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2:28" ht="16.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2:28" ht="16.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2:28" ht="16.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2:28" ht="16.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2:28" ht="16.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2:28" ht="16.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2:28" ht="16.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2:28" ht="16.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2:28" ht="16.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2:28" ht="16.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2:28" ht="16.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2:28" ht="16.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2:28" ht="16.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2:28" ht="16.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2:28" ht="16.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2:28" ht="16.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2:28" ht="16.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2:28" ht="16.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2:28" ht="16.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2:28" ht="16.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2:28" ht="16.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2:28" ht="16.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2:28" ht="16.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2:28" ht="16.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2:28" ht="16.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2:28" ht="16.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2:28" ht="16.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2:28" ht="16.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2:28" ht="16.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2:28" ht="16.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2:28" ht="16.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2:28" ht="16.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2:28" ht="16.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2:28" ht="16.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2:28" ht="16.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2:28" ht="16.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2:28" ht="16.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2:28" ht="16.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2:28" ht="16.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2:28" ht="16.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2:28" ht="16.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2:28" ht="16.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2:28" ht="16.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2:28" ht="16.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2:28" ht="16.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2:28" ht="16.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2:28" ht="16.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2:28" ht="16.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2:28" ht="16.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2:28" ht="16.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2:28" ht="16.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2:28" ht="16.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2:28" ht="16.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2:28" ht="16.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2:28" ht="16.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2:28" ht="16.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2:28" ht="16.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2:28" ht="16.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2:28" ht="16.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2:28" ht="16.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2:28" ht="16.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2:28" ht="16.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2:28" ht="16.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2:28" ht="16.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2:28" ht="16.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2:28" ht="16.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2:28" ht="16.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2:28" ht="16.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2:28" ht="16.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2:28" ht="16.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2:28" ht="16.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2:28" ht="16.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2:28" ht="16.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</sheetData>
  <mergeCells count="162">
    <mergeCell ref="B63:Q63"/>
    <mergeCell ref="B17:B19"/>
    <mergeCell ref="C17:C19"/>
    <mergeCell ref="D17:D19"/>
    <mergeCell ref="E17:E19"/>
    <mergeCell ref="F17:F19"/>
    <mergeCell ref="G17:G19"/>
    <mergeCell ref="H17:H19"/>
    <mergeCell ref="I32:I34"/>
    <mergeCell ref="J33:J34"/>
    <mergeCell ref="B32:B34"/>
    <mergeCell ref="C32:C34"/>
    <mergeCell ref="D32:D34"/>
    <mergeCell ref="E32:E34"/>
    <mergeCell ref="F32:F34"/>
    <mergeCell ref="G32:G34"/>
    <mergeCell ref="H32:H34"/>
    <mergeCell ref="B50:Q50"/>
    <mergeCell ref="B51:Q51"/>
    <mergeCell ref="B42:Q42"/>
    <mergeCell ref="B43:Q43"/>
    <mergeCell ref="B44:Q44"/>
    <mergeCell ref="B45:Q45"/>
    <mergeCell ref="B46:Q46"/>
    <mergeCell ref="B11:B13"/>
    <mergeCell ref="C11:C13"/>
    <mergeCell ref="D11:D13"/>
    <mergeCell ref="E11:E13"/>
    <mergeCell ref="F11:F13"/>
    <mergeCell ref="G11:G13"/>
    <mergeCell ref="H11:H13"/>
    <mergeCell ref="I14:I16"/>
    <mergeCell ref="J15:J16"/>
    <mergeCell ref="B14:B16"/>
    <mergeCell ref="C14:C16"/>
    <mergeCell ref="D14:D16"/>
    <mergeCell ref="E14:E16"/>
    <mergeCell ref="F14:F16"/>
    <mergeCell ref="G14:G16"/>
    <mergeCell ref="H14:H16"/>
    <mergeCell ref="B49:Q49"/>
    <mergeCell ref="I29:I31"/>
    <mergeCell ref="J30:J31"/>
    <mergeCell ref="B29:B31"/>
    <mergeCell ref="C29:C31"/>
    <mergeCell ref="D29:D31"/>
    <mergeCell ref="E29:E31"/>
    <mergeCell ref="F29:F31"/>
    <mergeCell ref="G29:G31"/>
    <mergeCell ref="H29:H31"/>
    <mergeCell ref="B47:Q47"/>
    <mergeCell ref="B35:Q35"/>
    <mergeCell ref="B36:Q36"/>
    <mergeCell ref="B37:Q37"/>
    <mergeCell ref="B38:Q38"/>
    <mergeCell ref="B39:Q39"/>
    <mergeCell ref="B40:Q40"/>
    <mergeCell ref="B41:Q41"/>
    <mergeCell ref="B48:Q48"/>
    <mergeCell ref="H23:H25"/>
    <mergeCell ref="I26:I28"/>
    <mergeCell ref="J27:J28"/>
    <mergeCell ref="B26:B28"/>
    <mergeCell ref="C26:C28"/>
    <mergeCell ref="D26:D28"/>
    <mergeCell ref="E26:E28"/>
    <mergeCell ref="F26:F28"/>
    <mergeCell ref="G26:G28"/>
    <mergeCell ref="H26:H28"/>
    <mergeCell ref="AA5:AA7"/>
    <mergeCell ref="AB5:AB7"/>
    <mergeCell ref="AC5:AC7"/>
    <mergeCell ref="Z6:Z7"/>
    <mergeCell ref="Z9:Z10"/>
    <mergeCell ref="AB20:AB22"/>
    <mergeCell ref="AC20:AC22"/>
    <mergeCell ref="I20:I22"/>
    <mergeCell ref="J21:J22"/>
    <mergeCell ref="I11:I13"/>
    <mergeCell ref="J12:J13"/>
    <mergeCell ref="I17:I19"/>
    <mergeCell ref="J18:J19"/>
    <mergeCell ref="AA17:AA19"/>
    <mergeCell ref="AB17:AB19"/>
    <mergeCell ref="AC17:AC19"/>
    <mergeCell ref="Z18:Z19"/>
    <mergeCell ref="Z21:Z22"/>
    <mergeCell ref="AA20:AA22"/>
    <mergeCell ref="I8:I10"/>
    <mergeCell ref="J9:J10"/>
    <mergeCell ref="G5:G7"/>
    <mergeCell ref="H5:H7"/>
    <mergeCell ref="I5:I7"/>
    <mergeCell ref="J6:J7"/>
    <mergeCell ref="G3:G4"/>
    <mergeCell ref="H3:H4"/>
    <mergeCell ref="B5:B7"/>
    <mergeCell ref="C5:C7"/>
    <mergeCell ref="D5:D7"/>
    <mergeCell ref="E5:E7"/>
    <mergeCell ref="F5:F7"/>
    <mergeCell ref="I3:I4"/>
    <mergeCell ref="J3:J4"/>
    <mergeCell ref="B1:AC1"/>
    <mergeCell ref="C2:D2"/>
    <mergeCell ref="B3:B4"/>
    <mergeCell ref="C3:C4"/>
    <mergeCell ref="D3:D4"/>
    <mergeCell ref="E3:E4"/>
    <mergeCell ref="F3:F4"/>
    <mergeCell ref="AC3:AC4"/>
    <mergeCell ref="Z3:AA4"/>
    <mergeCell ref="AB3:AB4"/>
    <mergeCell ref="AB26:AB28"/>
    <mergeCell ref="AC26:AC28"/>
    <mergeCell ref="AB32:AB34"/>
    <mergeCell ref="AC32:AC34"/>
    <mergeCell ref="AA26:AA28"/>
    <mergeCell ref="Z27:Z28"/>
    <mergeCell ref="AA29:AA31"/>
    <mergeCell ref="AB29:AB31"/>
    <mergeCell ref="AC29:AC31"/>
    <mergeCell ref="Z30:Z31"/>
    <mergeCell ref="AA32:AA34"/>
    <mergeCell ref="Z33:Z34"/>
    <mergeCell ref="AC23:AC25"/>
    <mergeCell ref="Z24:Z25"/>
    <mergeCell ref="AA8:AA10"/>
    <mergeCell ref="AA11:AA13"/>
    <mergeCell ref="AB11:AB13"/>
    <mergeCell ref="AC11:AC13"/>
    <mergeCell ref="Z12:Z13"/>
    <mergeCell ref="AB14:AB16"/>
    <mergeCell ref="AC14:AC16"/>
    <mergeCell ref="AA14:AA16"/>
    <mergeCell ref="Z15:Z16"/>
    <mergeCell ref="AB8:AB10"/>
    <mergeCell ref="AC8:AC10"/>
    <mergeCell ref="B8:B10"/>
    <mergeCell ref="C8:C10"/>
    <mergeCell ref="D8:D10"/>
    <mergeCell ref="E8:E10"/>
    <mergeCell ref="F8:F10"/>
    <mergeCell ref="G8:G10"/>
    <mergeCell ref="H8:H10"/>
    <mergeCell ref="AA23:AA25"/>
    <mergeCell ref="AB23:AB25"/>
    <mergeCell ref="B20:B22"/>
    <mergeCell ref="C20:C22"/>
    <mergeCell ref="D20:D22"/>
    <mergeCell ref="E20:E22"/>
    <mergeCell ref="F20:F22"/>
    <mergeCell ref="G20:G22"/>
    <mergeCell ref="H20:H22"/>
    <mergeCell ref="I23:I25"/>
    <mergeCell ref="J24:J25"/>
    <mergeCell ref="B23:B25"/>
    <mergeCell ref="C23:C25"/>
    <mergeCell ref="D23:D25"/>
    <mergeCell ref="E23:E25"/>
    <mergeCell ref="F23:F25"/>
    <mergeCell ref="G23:G25"/>
  </mergeCells>
  <phoneticPr fontId="11" type="noConversion"/>
  <pageMargins left="0.2716852082497731" right="0" top="1.4730330339566933" bottom="0" header="0" footer="0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방송운영단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BSS 3</cp:lastModifiedBy>
  <dcterms:modified xsi:type="dcterms:W3CDTF">2026-01-08T08:31:37Z</dcterms:modified>
</cp:coreProperties>
</file>